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b72e04c06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 DIAN" sheetId="1" r:id="Rb24bd6d628f94572"/>
    <x:sheet xmlns:r="http://schemas.openxmlformats.org/officeDocument/2006/relationships" name="Comprobación" sheetId="2" r:id="Rc39997151a5a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 #,##0"/>
  </x:numFmts>
  <x:fonts count="5">
    <x:font>
      <x:sz val="11"/>
      <x:name val="Carlito"/>
    </x:font>
    <x:font>
      <x:sz val="10"/>
      <x:color rgb="FF17324D"/>
      <x:name val="Arial"/>
    </x:font>
    <x:font>
      <x:sz val="10"/>
      <x:color rgb="FFFFFFFF"/>
      <x:name val="Arial"/>
    </x:font>
    <x:font>
      <x:sz val="11"/>
      <x:color rgb="FF17324D"/>
      <x:name val="Arial"/>
    </x:font>
    <x:font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445E"/>
      </x:patternFill>
    </x:fill>
    <x:fill>
      <x:patternFill patternType="solid">
        <x:fgColor rgb="FFDCEAF4"/>
      </x:patternFill>
    </x:fill>
    <x:fill>
      <x:patternFill patternType="solid">
        <x:fgColor rgb="FFFFF0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3" fillId="0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6382337da413e" /><Relationship Type="http://schemas.openxmlformats.org/officeDocument/2006/relationships/theme" Target="/xl/theme/theme1.xml" Id="R7ea23492c89347a9" /><Relationship Type="http://schemas.openxmlformats.org/officeDocument/2006/relationships/sharedStrings" Target="/xl/sharedStrings.xml" Id="R386fd48e1a1c4c0d" /><Relationship Type="http://schemas.openxmlformats.org/officeDocument/2006/relationships/worksheet" Target="/xl/worksheets/sheet1.xml" Id="Rb24bd6d628f94572" /><Relationship Type="http://schemas.openxmlformats.org/officeDocument/2006/relationships/worksheet" Target="/xl/worksheets/sheet2.xml" Id="Rc39997151a5a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3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53" hidden="0" customWidth="1"/>
  </x:cols>
  <x:sheetData>
    <x:row r="1" ht="23" customHeight="1">
      <x:c r="A1" s="3" t="str">
        <x:v>CASO DE PRUEBA DIAN</x:v>
      </x:c>
      <x:c r="B1" s="3" t="str">
        <x:v>DATOS FICTICIOS</x:v>
      </x:c>
      <x:c r="C1" s="3"/>
      <x:c r="D1" s="3"/>
      <x:c r="E1" s="3"/>
      <x:c r="F1" s="3"/>
      <x:c r="G1" s="3"/>
    </x:row>
    <x:row r="2" ht="23" customHeight="1">
      <x:c r="A2" s="1" t="str">
        <x:v>NIT</x:v>
      </x:c>
      <x:c r="B2" s="1" t="str">
        <x:v>900000001</x:v>
      </x:c>
      <x:c r="C2" s="1"/>
      <x:c r="D2" s="1"/>
      <x:c r="E2" s="1"/>
      <x:c r="F2" s="1"/>
      <x:c r="G2" s="1"/>
    </x:row>
    <x:row r="3" ht="23" customHeight="1">
      <x:c r="A3" s="1" t="str">
        <x:v>RAZÓN SOCIAL</x:v>
      </x:c>
      <x:c r="B3" s="1" t="str">
        <x:v>PRUEBA FICTICIA DE CONSERVACION</x:v>
      </x:c>
      <x:c r="C3" s="1"/>
      <x:c r="D3" s="1"/>
      <x:c r="E3" s="1"/>
      <x:c r="F3" s="1"/>
      <x:c r="G3" s="1"/>
    </x:row>
    <x:row r="4" ht="23" customHeight="1">
      <x:c r="A4" s="1" t="str">
        <x:v>AÑO GRAVABLE</x:v>
      </x:c>
      <x:c r="B4" s="1" t="n">
        <x:v>2026</x:v>
      </x:c>
      <x:c r="C4" s="1"/>
      <x:c r="D4" s="1"/>
      <x:c r="E4" s="1"/>
      <x:c r="F4" s="1"/>
      <x:c r="G4" s="1"/>
    </x:row>
    <x:row r="5" ht="23" customHeight="1">
      <x:c r="A5" s="1" t="str">
        <x:v>CONCEPTO</x:v>
      </x:c>
      <x:c r="B5" s="1" t="str">
        <x:v>SIMPLE</x:v>
      </x:c>
      <x:c r="C5" s="1"/>
      <x:c r="D5" s="1"/>
      <x:c r="E5" s="1"/>
      <x:c r="F5" s="1"/>
      <x:c r="G5" s="1"/>
    </x:row>
    <x:row r="6" ht="23" customHeight="1">
      <x:c r="A6" s="1" t="str">
        <x:v>PERÍODO</x:v>
      </x:c>
      <x:c r="B6" s="1" t="str">
        <x:v>1</x:v>
      </x:c>
      <x:c r="C6" s="1"/>
      <x:c r="D6" s="1"/>
      <x:c r="E6" s="1"/>
      <x:c r="F6" s="1"/>
      <x:c r="G6" s="1"/>
    </x:row>
    <x:row r="7" ht="23" customHeight="1">
      <x:c r="A7" s="1" t="str">
        <x:v>TIENE SANCIÓN</x:v>
      </x:c>
      <x:c r="B7" s="1" t="str">
        <x:v>SI</x:v>
      </x:c>
      <x:c r="C7" s="1"/>
      <x:c r="D7" s="1"/>
      <x:c r="E7" s="1"/>
      <x:c r="F7" s="1"/>
      <x:c r="G7" s="1"/>
    </x:row>
    <x:row r="8" ht="23" customHeight="1">
      <x:c r="A8" s="1" t="str">
        <x:v>VALOR SANCIÓN</x:v>
      </x:c>
      <x:c r="B8" s="5" t="n">
        <x:v>30000</x:v>
      </x:c>
      <x:c r="C8" s="1"/>
      <x:c r="D8" s="1"/>
      <x:c r="E8" s="1"/>
      <x:c r="F8" s="1"/>
      <x:c r="G8" s="1"/>
    </x:row>
    <x:row r="9" ht="23" customHeight="1">
      <x:c r="A9" s="1" t="str">
        <x:v>FECHA SANCIÓN</x:v>
      </x:c>
      <x:c r="B9" s="1" t="str">
        <x:v>2026-01-01</x:v>
      </x:c>
      <x:c r="C9" s="1"/>
      <x:c r="D9" s="1"/>
      <x:c r="E9" s="1"/>
      <x:c r="F9" s="1"/>
      <x:c r="G9" s="1"/>
    </x:row>
    <x:row r="10" ht="23" customHeight="1">
      <x:c r="A10" s="1" t="str">
        <x:v>TIPO DE LIQUIDACIÓN</x:v>
      </x:c>
      <x:c r="B10" s="1" t="str">
        <x:v>PRIVADA</x:v>
      </x:c>
      <x:c r="C10" s="1"/>
      <x:c r="D10" s="1"/>
      <x:c r="E10" s="1"/>
      <x:c r="F10" s="1"/>
      <x:c r="G10" s="1"/>
    </x:row>
    <x:row r="11" ht="23" customHeight="1">
      <x:c r="A11" s="1" t="str">
        <x:v>BENEFICIO SANCIÓN</x:v>
      </x:c>
      <x:c r="B11" s="1" t="str">
        <x:v>SIN BENEFICIO</x:v>
      </x:c>
      <x:c r="C11" s="1"/>
      <x:c r="D11" s="1"/>
      <x:c r="E11" s="1"/>
      <x:c r="F11" s="1"/>
      <x:c r="G11" s="1"/>
    </x:row>
    <x:row r="12" ht="23" customHeight="1">
      <x:c r="A12" s="1" t="str">
        <x:v>BENEFICIO TRIBUTARIO</x:v>
      </x:c>
      <x:c r="B12" s="1" t="str">
        <x:v>NINGUNO</x:v>
      </x:c>
      <x:c r="C12" s="1"/>
      <x:c r="D12" s="1"/>
      <x:c r="E12" s="1"/>
      <x:c r="F12" s="1"/>
      <x:c r="G12" s="1"/>
    </x:row>
    <x:row r="13" ht="23" customHeight="1">
      <x:c r="A13" s="1"/>
      <x:c r="B13" s="1"/>
      <x:c r="C13" s="1"/>
      <x:c r="D13" s="1"/>
      <x:c r="E13" s="1"/>
      <x:c r="F13" s="1"/>
      <x:c r="G13" s="1"/>
    </x:row>
    <x:row r="14" ht="23" customHeight="1">
      <x:c r="A14" s="3" t="str">
        <x:v>VENCIMIENTOS</x:v>
      </x:c>
      <x:c r="B14" s="3"/>
      <x:c r="C14" s="3"/>
      <x:c r="D14" s="3"/>
      <x:c r="E14" s="3"/>
      <x:c r="F14" s="3"/>
      <x:c r="G14" s="3"/>
    </x:row>
    <x:row r="15" ht="23" customHeight="1">
      <x:c r="A15" s="4" t="str">
        <x:v>Nº</x:v>
      </x:c>
      <x:c r="B15" s="4" t="str">
        <x:v>PERÍODO</x:v>
      </x:c>
      <x:c r="C15" s="4" t="str">
        <x:v>FECHA VENCIMIENTO</x:v>
      </x:c>
      <x:c r="D15" s="4" t="str">
        <x:v>IMPUESTO DECLARADO</x:v>
      </x:c>
      <x:c r="E15" s="1"/>
      <x:c r="F15" s="1"/>
      <x:c r="G15" s="1"/>
    </x:row>
    <x:row r="16" ht="23" customHeight="1">
      <x:c r="A16" s="1" t="n">
        <x:v>1</x:v>
      </x:c>
      <x:c r="B16" s="1" t="n">
        <x:v>1</x:v>
      </x:c>
      <x:c r="C16" s="1" t="str">
        <x:v>2026-01-01</x:v>
      </x:c>
      <x:c r="D16" s="5" t="n">
        <x:v>100000</x:v>
      </x:c>
      <x:c r="E16" s="1"/>
      <x:c r="F16" s="1"/>
      <x:c r="G16" s="1"/>
    </x:row>
    <x:row r="17" ht="23" customHeight="1">
      <x:c r="A17" s="1" t="n">
        <x:v>2</x:v>
      </x:c>
      <x:c r="B17" s="1" t="n">
        <x:v>2</x:v>
      </x:c>
      <x:c r="C17" s="1" t="str">
        <x:v>2026-01-02</x:v>
      </x:c>
      <x:c r="D17" s="5" t="n">
        <x:v>100000</x:v>
      </x:c>
      <x:c r="E17" s="1"/>
      <x:c r="F17" s="1"/>
      <x:c r="G17" s="1"/>
    </x:row>
    <x:row r="18" ht="23" customHeight="1">
      <x:c r="A18" s="1" t="n">
        <x:v>3</x:v>
      </x:c>
      <x:c r="B18" s="1" t="n">
        <x:v>3</x:v>
      </x:c>
      <x:c r="C18" s="1" t="str">
        <x:v>2026-01-03</x:v>
      </x:c>
      <x:c r="D18" s="5" t="n">
        <x:v>100000</x:v>
      </x:c>
      <x:c r="E18" s="1"/>
      <x:c r="F18" s="1"/>
      <x:c r="G18" s="1"/>
    </x:row>
    <x:row r="19" ht="23" customHeight="1">
      <x:c r="A19" s="1" t="n">
        <x:v>4</x:v>
      </x:c>
      <x:c r="B19" s="1" t="n">
        <x:v>4</x:v>
      </x:c>
      <x:c r="C19" s="1" t="str">
        <x:v>2026-01-04</x:v>
      </x:c>
      <x:c r="D19" s="5" t="n">
        <x:v>100000</x:v>
      </x:c>
      <x:c r="E19" s="1"/>
      <x:c r="F19" s="1"/>
      <x:c r="G19" s="1"/>
    </x:row>
    <x:row r="20" ht="23" customHeight="1">
      <x:c r="A20" s="1"/>
      <x:c r="B20" s="1"/>
      <x:c r="C20" s="1"/>
      <x:c r="D20" s="1"/>
      <x:c r="E20" s="1"/>
      <x:c r="F20" s="1"/>
      <x:c r="G20" s="1"/>
    </x:row>
    <x:row r="21" ht="23" customHeight="1">
      <x:c r="A21" s="3" t="str">
        <x:v>PAGOS Y APLICACIÓN</x:v>
      </x:c>
      <x:c r="B21" s="3"/>
      <x:c r="C21" s="3"/>
      <x:c r="D21" s="3"/>
      <x:c r="E21" s="3"/>
      <x:c r="F21" s="3"/>
      <x:c r="G21" s="3"/>
    </x:row>
    <x:row r="22" ht="23" customHeight="1">
      <x:c r="A22" s="4" t="str">
        <x:v>Nº</x:v>
      </x:c>
      <x:c r="B22" s="4" t="str">
        <x:v>TDJ Nº</x:v>
      </x:c>
      <x:c r="C22" s="4" t="str">
        <x:v>RECIBO Nº</x:v>
      </x:c>
      <x:c r="D22" s="4" t="str">
        <x:v>FECHA PAGO / CORTE</x:v>
      </x:c>
      <x:c r="E22" s="4" t="str">
        <x:v>VALOR PAGO</x:v>
      </x:c>
      <x:c r="F22" s="4" t="str">
        <x:v>TIPO</x:v>
      </x:c>
      <x:c r="G22" s="4" t="str">
        <x:v>OBSERVACIÓN</x:v>
      </x:c>
    </x:row>
    <x:row r="23" ht="23" customHeight="1">
      <x:c r="A23" s="1" t="n">
        <x:v>1</x:v>
      </x:c>
      <x:c r="B23" s="1" t="str"/>
      <x:c r="C23" s="1" t="str">
        <x:v>990000001</x:v>
      </x:c>
      <x:c r="D23" s="1" t="str">
        <x:v>2026-01-01</x:v>
      </x:c>
      <x:c r="E23" s="5" t="n">
        <x:v>10000</x:v>
      </x:c>
      <x:c r="F23" s="1" t="str">
        <x:v>TASA DIAN</x:v>
      </x:c>
      <x:c r="G23" s="1" t="str">
        <x:v>PAGO FICTICIO PARA REPRODUCIR LA FALLA</x:v>
      </x:c>
    </x:row>
    <x:row r="24" ht="23" customHeight="1">
      <x:c r="A24" s="1"/>
      <x:c r="B24" s="1"/>
      <x:c r="C24" s="1"/>
      <x:c r="D24" s="1"/>
      <x:c r="E24" s="1"/>
      <x:c r="F24" s="1"/>
      <x:c r="G24" s="1"/>
    </x:row>
    <x:row r="25" ht="23" customHeight="1">
      <x:c r="A25" s="1" t="str">
        <x:v>FIN RECUPERACIÓN COMPLETA</x:v>
      </x:c>
      <x:c r="B25" s="1"/>
      <x:c r="C25" s="1"/>
      <x:c r="D25" s="1"/>
      <x:c r="E25" s="1"/>
      <x:c r="F25" s="1"/>
      <x:c r="G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70" hidden="0" customWidth="1"/>
  </x:cols>
  <x:sheetData>
    <x:row r="1" ht="26" customHeight="1">
      <x:c r="A1" s="8" t="str">
        <x:v>COMPROBACIÓN DE CONSERVACIÓN</x:v>
      </x:c>
      <x:c r="B1" s="8"/>
      <x:c r="C1" s="8" t="str">
        <x:v>Valores en pesos colombianos</x:v>
      </x:c>
    </x:row>
    <x:row r="2" ht="26" customHeight="1">
      <x:c r="A2" s="6"/>
      <x:c r="B2" s="6"/>
      <x:c r="C2" s="6"/>
    </x:row>
    <x:row r="3" ht="26" customHeight="1">
      <x:c r="A3" s="6" t="str">
        <x:v>Impuesto inicial</x:v>
      </x:c>
      <x:c r="B3" s="9" t="n">
        <x:f>SUM('Importar DIAN'!D16:D19)</x:f>
        <x:v>400000</x:v>
      </x:c>
      <x:c r="C3" s="6"/>
    </x:row>
    <x:row r="4" ht="26" customHeight="1">
      <x:c r="A4" s="6" t="str">
        <x:v>Sanción inicial</x:v>
      </x:c>
      <x:c r="B4" s="9" t="n">
        <x:f>'Importar DIAN'!B8</x:f>
        <x:v>30000</x:v>
      </x:c>
      <x:c r="C4" s="6"/>
    </x:row>
    <x:row r="5" ht="26" customHeight="1">
      <x:c r="A5" s="6" t="str">
        <x:v>Deuda inicial</x:v>
      </x:c>
      <x:c r="B5" s="9" t="n">
        <x:f>SUM(B3:B4)</x:f>
        <x:v>430000</x:v>
      </x:c>
      <x:c r="C5" s="6"/>
    </x:row>
    <x:row r="6" ht="26" customHeight="1">
      <x:c r="A6" s="6" t="str">
        <x:v>Pago</x:v>
      </x:c>
      <x:c r="B6" s="9" t="n">
        <x:f>'Importar DIAN'!E23</x:f>
        <x:v>10000</x:v>
      </x:c>
      <x:c r="C6" s="6"/>
    </x:row>
    <x:row r="7" ht="26" customHeight="1">
      <x:c r="A7" s="10" t="str">
        <x:v>Saldo esperado sin intereses</x:v>
      </x:c>
      <x:c r="B7" s="11" t="n">
        <x:f>B5-B6</x:f>
        <x:v>420000</x:v>
      </x:c>
      <x:c r="C7" s="10"/>
    </x:row>
    <x:row r="8" ht="26" customHeight="1">
      <x:c r="A8" s="10" t="str">
        <x:v>Saldo observado en la versión 16.33.247</x:v>
      </x:c>
      <x:c r="B8" s="11" t="n">
        <x:v>400000</x:v>
      </x:c>
      <x:c r="C8" s="10" t="str">
        <x:v>Resultado observado de referencia; no es el resultado correcto.</x:v>
      </x:c>
    </x:row>
    <x:row r="9" ht="26" customHeight="1">
      <x:c r="A9" s="10" t="str">
        <x:v>Diferencia por comprobar</x:v>
      </x:c>
      <x:c r="B9" s="11" t="n">
        <x:f>B7-B8</x:f>
        <x:v>20000</x:v>
      </x:c>
      <x:c r="C9" s="10"/>
    </x:row>
    <x:row r="10" ht="26" customHeight="1">
      <x:c r="A10" s="6"/>
      <x:c r="B10" s="6"/>
      <x:c r="C10" s="6"/>
    </x:row>
    <x:row r="11" ht="26" customHeight="1">
      <x:c r="A11" s="6" t="str">
        <x:v>1. Abrir el liquidador DIAN.</x:v>
      </x:c>
      <x:c r="B11" s="6"/>
      <x:c r="C11" s="6"/>
    </x:row>
    <x:row r="12" ht="26" customHeight="1">
      <x:c r="A12" s="6" t="str">
        <x:v>2. Pulsar Importar Excel y elegir este archivo.</x:v>
      </x:c>
      <x:c r="B12" s="6"/>
      <x:c r="C12" s="6"/>
    </x:row>
    <x:row r="13" ht="26" customHeight="1">
      <x:c r="A13" s="6" t="str">
        <x:v>3. Comprobar cuatro cuotas y un pago.</x:v>
      </x:c>
      <x:c r="B13" s="6"/>
      <x:c r="C13" s="6"/>
    </x:row>
    <x:row r="14" ht="26" customHeight="1">
      <x:c r="A14" s="6" t="str">
        <x:v>4. Pulsar Calcular liquidación.</x:v>
      </x:c>
      <x:c r="B14" s="6"/>
      <x:c r="C14" s="6"/>
    </x:row>
    <x:row r="15" ht="26" customHeight="1">
      <x:c r="A15" s="6" t="str">
        <x:v>5. Comparar impuesto + sanción pendientes.</x:v>
      </x:c>
      <x:c r="B15" s="6"/>
      <x:c r="C15" s="6"/>
    </x:row>
    <x:row r="16" ht="26" customHeight="1">
      <x:c r="A16" s="6" t="str">
        <x:v>Caso ficticio, no corresponde a un contribuyente real.</x:v>
      </x:c>
      <x:c r="B16" s="6"/>
      <x:c r="C16" s="6" t="str">
        <x:v>Fechas elegidas para no causar intereses a la fecha del pago.</x:v>
      </x:c>
    </x:row>
  </x:sheetData>
  <x:pageMargins left="0.7" right="0.7" top="0.75" bottom="0.75" header="0.3" footer="0.3"/>
</x:worksheet>
</file>